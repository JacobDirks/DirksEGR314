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recision\Desktop\J2DIndivGithub\Classwork\JacobDirksEGR314.github.io\docs\Appendix\03-Power-Budget\"/>
    </mc:Choice>
  </mc:AlternateContent>
  <xr:revisionPtr revIDLastSave="0" documentId="13_ncr:1_{ADE62186-5B36-4758-914A-5B85FA3FCB0C}" xr6:coauthVersionLast="47" xr6:coauthVersionMax="47" xr10:uidLastSave="{00000000-0000-0000-0000-000000000000}"/>
  <bookViews>
    <workbookView xWindow="-120" yWindow="-120" windowWidth="29040" windowHeight="1584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9" i="1" l="1"/>
  <c r="G60" i="1"/>
  <c r="G41" i="1"/>
  <c r="G49" i="1"/>
  <c r="G30" i="1"/>
  <c r="G19" i="1"/>
  <c r="G18" i="1"/>
  <c r="F15" i="1"/>
  <c r="G58" i="1"/>
  <c r="G44" i="1"/>
  <c r="G43" i="1"/>
  <c r="G42" i="1"/>
  <c r="G38" i="1"/>
  <c r="G33" i="1"/>
  <c r="G32" i="1"/>
  <c r="G31" i="1"/>
  <c r="G27" i="1"/>
  <c r="G22" i="1"/>
  <c r="G21" i="1"/>
  <c r="G20" i="1"/>
  <c r="G10" i="1"/>
  <c r="G9" i="1"/>
  <c r="G61" i="1" l="1"/>
  <c r="G23" i="1"/>
  <c r="G25" i="1" s="1"/>
  <c r="G28" i="1" s="1"/>
  <c r="G45" i="1"/>
  <c r="G47" i="1" s="1"/>
  <c r="G50" i="1" s="1"/>
  <c r="G34" i="1"/>
  <c r="G36" i="1" s="1"/>
  <c r="G39" i="1" s="1"/>
  <c r="G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<sst xmlns="http://schemas.openxmlformats.org/spreadsheetml/2006/main" count="141" uniqueCount="56">
  <si>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</si>
  <si>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</si>
  <si>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</si>
  <si>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</si>
  <si>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</si>
  <si>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</si>
  <si>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</si>
  <si>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</si>
  <si>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</si>
  <si>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</si>
  <si>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</si>
  <si>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</si>
  <si>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</si>
  <si>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</si>
  <si>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</si>
  <si>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5V regulator</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</si>
  <si>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</si>
  <si>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</si>
  <si>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</si>
  <si>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</si>
  <si>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</si>
  <si>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</si>
  <si>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</si>
  <si>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LM7812</t>
  </si>
  <si>
    <t xml:space="preserve"> +12V - 35V</t>
  </si>
  <si>
    <t>Total Remaining Current Available on +12V Rail</t>
  </si>
  <si>
    <t xml:space="preserve"> +5V Power Rail</t>
  </si>
  <si>
    <t>Total Current Required on +5V Rail</t>
  </si>
  <si>
    <t>c2.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</si>
  <si>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</si>
  <si>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</si>
  <si>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</si>
  <si>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</si>
  <si>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</si>
  <si>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</si>
  <si>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</si>
  <si>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</si>
  <si>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</si>
  <si>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</si>
  <si>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</si>
  <si>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</si>
  <si>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</si>
  <si>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</si>
  <si>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</si>
  <si>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 xml:space="preserve">Power Budget Dirks EGR 314 </t>
  </si>
  <si>
    <t>Jacob D, Sam B, Sam M, Adrian P, Andrew, Mo</t>
  </si>
  <si>
    <t>ESP-32</t>
  </si>
  <si>
    <t>DC Motor</t>
  </si>
  <si>
    <t>3.3V Regulator</t>
  </si>
  <si>
    <t>ESP32-S3-WROOM-1</t>
  </si>
  <si>
    <t>PPN7PA12C1</t>
  </si>
  <si>
    <t>A4402KLPTR-T</t>
  </si>
  <si>
    <t>"+3 to -3 V"</t>
  </si>
  <si>
    <t xml:space="preserve"> +5V</t>
  </si>
  <si>
    <t>1.8V -3.3V</t>
  </si>
  <si>
    <t>3.3V - 5V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</si>
</sst>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60">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4" fillId="0" borderId="8" xfId="0" applyFont="1" applyBorder="1" applyAlignment="1">
      <alignment horizontal="left" vertical="center" wrapText="1"/>
    </xf>
    <xf numFmtId="0" fontId="3" fillId="0" borderId="8" xfId="0" applyFont="1" applyBorder="1"/>
    <xf numFmtId="0" fontId="4" fillId="0" borderId="16" xfId="0" applyFont="1" applyBorder="1" applyAlignment="1">
      <alignment horizontal="center"/>
    </xf>
    <xf numFmtId="0" fontId="2" fillId="0" borderId="17" xfId="0" applyFont="1" applyBorder="1" applyAlignment="1">
      <alignment horizontal="center"/>
    </xf>
    <xf numFmtId="0" fontId="4" fillId="0" borderId="17" xfId="0" applyFont="1" applyBorder="1" applyAlignment="1">
      <alignment horizontal="center"/>
    </xf>
    <xf numFmtId="0" fontId="4" fillId="0" borderId="15" xfId="0" applyFont="1" applyBorder="1" applyAlignment="1">
      <alignment horizontal="center"/>
    </xf>
    <xf numFmtId="0" fontId="4" fillId="0" borderId="18" xfId="0" applyFont="1" applyBorder="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2"/>
  <sheetViews>
    <sheetView tabSelected="1" workbookViewId="0">
      <selection activeCell="F6" sqref="F6"/>
    </sheetView>
  </sheetViews>
  <sheetFormatPr defaultColWidth="13.5" defaultRowHeight="15.75" customHeight="1" x14ac:dyDescent="0.25"/>
  <cols>
    <col min="1" max="1" width="26.125" customWidth="1"/>
    <col min="2" max="2" width="23.125" customWidth="1"/>
    <col min="3" max="3" width="13.5" customWidth="1"/>
    <col min="4" max="4" width="24.75" bestFit="1" customWidth="1"/>
    <col min="5" max="5" width="6.875" customWidth="1"/>
    <col min="6" max="6" width="39.875" customWidth="1"/>
    <col min="7" max="7" width="22" customWidth="1"/>
    <col min="8" max="8" width="9" customWidth="1"/>
  </cols>
  <sheetData>
    <row r="1" spans="1:8" ht="30" customHeight="1" x14ac:dyDescent="0.5">
      <c r="A1" s="41" t="s">
        <v>44</v>
      </c>
      <c r="B1" s="42"/>
      <c r="C1" s="42"/>
      <c r="D1" s="42"/>
      <c r="E1" s="42"/>
      <c r="F1" s="42"/>
      <c r="G1" s="42"/>
      <c r="H1" s="42"/>
    </row>
    <row r="2" spans="1:8" ht="15" customHeight="1" x14ac:dyDescent="0.25">
      <c r="A2" s="1" t="s">
        <v>0</v>
      </c>
      <c r="B2" s="2">
        <v>308</v>
      </c>
      <c r="D2" s="3"/>
      <c r="E2" s="3"/>
    </row>
    <row r="3" spans="1:8" ht="15" customHeight="1" x14ac:dyDescent="0.25">
      <c r="A3" s="4" t="s">
        <v>1</v>
      </c>
      <c r="B3" s="1"/>
      <c r="C3" s="5"/>
      <c r="D3" s="3"/>
      <c r="E3" s="3"/>
      <c r="F3" s="5"/>
      <c r="G3" s="5"/>
      <c r="H3" s="5"/>
    </row>
    <row r="4" spans="1:8" ht="15" customHeight="1" x14ac:dyDescent="0.25">
      <c r="A4" s="4" t="s">
        <v>2</v>
      </c>
      <c r="B4" s="1" t="s">
        <v>45</v>
      </c>
      <c r="C4" s="5"/>
      <c r="D4" s="3"/>
      <c r="E4" s="3"/>
      <c r="F4" s="5"/>
      <c r="G4" s="5"/>
      <c r="H4" s="5"/>
    </row>
    <row r="5" spans="1:8" ht="15" customHeight="1" x14ac:dyDescent="0.25">
      <c r="A5" s="4" t="s">
        <v>3</v>
      </c>
      <c r="B5" s="1">
        <v>1.1000000000000001</v>
      </c>
      <c r="C5" s="5"/>
      <c r="D5" s="3"/>
      <c r="E5" s="3"/>
      <c r="F5" s="5"/>
      <c r="G5" s="5"/>
      <c r="H5" s="5"/>
    </row>
    <row r="6" spans="1:8" ht="15" customHeight="1" x14ac:dyDescent="0.25">
      <c r="A6" s="6"/>
      <c r="B6" s="5"/>
      <c r="C6" s="5"/>
      <c r="D6" s="3"/>
      <c r="E6" s="3"/>
      <c r="F6" s="5"/>
      <c r="G6" s="5"/>
      <c r="H6" s="5"/>
    </row>
    <row r="7" spans="1:8" ht="15" customHeight="1" x14ac:dyDescent="0.25">
      <c r="A7" s="43" t="s">
        <v>4</v>
      </c>
      <c r="B7" s="44"/>
      <c r="C7" s="44"/>
      <c r="D7" s="44"/>
      <c r="E7" s="44"/>
      <c r="F7" s="44"/>
      <c r="G7" s="44"/>
      <c r="H7" s="45"/>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46</v>
      </c>
      <c r="C9" t="s">
        <v>49</v>
      </c>
      <c r="D9" s="13" t="s">
        <v>52</v>
      </c>
      <c r="E9" s="14">
        <v>1</v>
      </c>
      <c r="F9">
        <v>1000</v>
      </c>
      <c r="G9" s="15">
        <f t="shared" ref="G9:G10" si="0">E9*F9</f>
        <v>1000</v>
      </c>
      <c r="H9" s="16" t="s">
        <v>14</v>
      </c>
    </row>
    <row r="10" spans="1:8" ht="15" customHeight="1" x14ac:dyDescent="0.25">
      <c r="A10" s="12"/>
      <c r="B10" t="s">
        <v>47</v>
      </c>
      <c r="C10" t="s">
        <v>50</v>
      </c>
      <c r="D10" s="18" t="s">
        <v>53</v>
      </c>
      <c r="E10" s="14">
        <v>3</v>
      </c>
      <c r="F10">
        <v>567</v>
      </c>
      <c r="G10" s="15">
        <f t="shared" si="0"/>
        <v>1701</v>
      </c>
      <c r="H10" s="16" t="s">
        <v>14</v>
      </c>
    </row>
    <row r="11" spans="1:8" ht="15" customHeight="1" x14ac:dyDescent="0.25">
      <c r="A11" s="12"/>
      <c r="D11" s="14"/>
      <c r="E11" s="14"/>
      <c r="G11" s="15"/>
      <c r="H11" s="16"/>
    </row>
    <row r="12" spans="1:8" ht="15" customHeight="1" x14ac:dyDescent="0.25">
      <c r="A12" s="12"/>
      <c r="B12" s="17"/>
      <c r="C12" s="17"/>
      <c r="D12" s="18"/>
      <c r="E12" s="13"/>
      <c r="F12" s="17"/>
      <c r="G12" s="15"/>
      <c r="H12" s="16"/>
    </row>
    <row r="13" spans="1:8" ht="15" customHeight="1" x14ac:dyDescent="0.25">
      <c r="A13" s="12"/>
      <c r="C13" s="17"/>
      <c r="D13" s="13"/>
      <c r="E13" s="14"/>
      <c r="G13" s="15"/>
      <c r="H13" s="16"/>
    </row>
    <row r="14" spans="1:8" ht="15" customHeight="1" x14ac:dyDescent="0.25">
      <c r="A14" s="12"/>
      <c r="B14" s="17"/>
      <c r="D14" s="13"/>
      <c r="E14" s="14"/>
      <c r="G14" s="15"/>
      <c r="H14" s="16"/>
    </row>
    <row r="15" spans="1:8" ht="15" customHeight="1" x14ac:dyDescent="0.25">
      <c r="A15" s="19"/>
      <c r="B15" s="6"/>
      <c r="C15" s="5"/>
      <c r="D15" s="20"/>
      <c r="E15" s="3"/>
      <c r="F15" s="21">
        <f>SUM(F9:F13)</f>
        <v>1567</v>
      </c>
      <c r="G15" s="21">
        <f>SUM(G9:G13)</f>
        <v>2701</v>
      </c>
      <c r="H15" s="21" t="s">
        <v>14</v>
      </c>
    </row>
    <row r="16" spans="1:8" ht="15" customHeight="1" x14ac:dyDescent="0.25">
      <c r="A16" s="43" t="s">
        <v>16</v>
      </c>
      <c r="B16" s="44"/>
      <c r="C16" s="44"/>
      <c r="D16" s="44"/>
      <c r="E16" s="44"/>
      <c r="F16" s="44"/>
      <c r="G16" s="44"/>
      <c r="H16" s="45"/>
    </row>
    <row r="17" spans="1:8" ht="15" customHeight="1" x14ac:dyDescent="0.25">
      <c r="A17" s="22" t="s">
        <v>17</v>
      </c>
      <c r="B17" s="8" t="s">
        <v>6</v>
      </c>
      <c r="C17" s="8" t="s">
        <v>7</v>
      </c>
      <c r="D17" s="9" t="s">
        <v>8</v>
      </c>
      <c r="E17" s="9" t="s">
        <v>9</v>
      </c>
      <c r="F17" s="10" t="s">
        <v>10</v>
      </c>
      <c r="G17" s="11" t="s">
        <v>11</v>
      </c>
      <c r="H17" s="11" t="s">
        <v>12</v>
      </c>
    </row>
    <row r="18" spans="1:8" ht="15" customHeight="1" x14ac:dyDescent="0.25">
      <c r="A18" s="12"/>
      <c r="B18" t="s">
        <v>48</v>
      </c>
      <c r="C18" t="s">
        <v>51</v>
      </c>
      <c r="D18" s="14" t="s">
        <v>54</v>
      </c>
      <c r="E18" s="14">
        <v>1</v>
      </c>
      <c r="F18">
        <v>250</v>
      </c>
      <c r="G18" s="15">
        <f t="shared" ref="G18:G19" si="1">E18*F18</f>
        <v>250</v>
      </c>
      <c r="H18" s="16" t="s">
        <v>14</v>
      </c>
    </row>
    <row r="19" spans="1:8" ht="15" customHeight="1" x14ac:dyDescent="0.25">
      <c r="A19" s="12"/>
      <c r="B19" s="17" t="s">
        <v>15</v>
      </c>
      <c r="C19" s="17" t="s">
        <v>51</v>
      </c>
      <c r="D19" s="18" t="s">
        <v>55</v>
      </c>
      <c r="E19" s="13">
        <v>1</v>
      </c>
      <c r="F19" s="17">
        <v>1000</v>
      </c>
      <c r="G19" s="15">
        <f t="shared" si="1"/>
        <v>1000</v>
      </c>
      <c r="H19" s="16" t="s">
        <v>14</v>
      </c>
    </row>
    <row r="20" spans="1:8" ht="15" customHeight="1" x14ac:dyDescent="0.25">
      <c r="A20" s="12"/>
      <c r="D20" s="14"/>
      <c r="E20" s="14"/>
      <c r="G20" s="15">
        <f t="shared" ref="G20:G22" si="2">E20*F20</f>
        <v>0</v>
      </c>
      <c r="H20" s="16" t="s">
        <v>14</v>
      </c>
    </row>
    <row r="21" spans="1:8" ht="15" customHeight="1" x14ac:dyDescent="0.25">
      <c r="A21" s="12"/>
      <c r="D21" s="14"/>
      <c r="E21" s="14"/>
      <c r="G21" s="15">
        <f t="shared" si="2"/>
        <v>0</v>
      </c>
      <c r="H21" s="16" t="s">
        <v>14</v>
      </c>
    </row>
    <row r="22" spans="1:8" ht="15" customHeight="1" x14ac:dyDescent="0.25">
      <c r="A22" s="12"/>
      <c r="D22" s="14"/>
      <c r="E22" s="14"/>
      <c r="G22" s="15">
        <f t="shared" si="2"/>
        <v>0</v>
      </c>
      <c r="H22" s="16" t="s">
        <v>14</v>
      </c>
    </row>
    <row r="23" spans="1:8" ht="15" customHeight="1" x14ac:dyDescent="0.25">
      <c r="A23" s="12"/>
      <c r="B23" s="46" t="s">
        <v>18</v>
      </c>
      <c r="C23" s="42"/>
      <c r="D23" s="42"/>
      <c r="E23" s="42"/>
      <c r="F23" s="42"/>
      <c r="G23" s="15">
        <f>SUM(G18:G22)</f>
        <v>1250</v>
      </c>
      <c r="H23" s="16" t="s">
        <v>14</v>
      </c>
    </row>
    <row r="24" spans="1:8" ht="15" customHeight="1" x14ac:dyDescent="0.25">
      <c r="A24" s="12"/>
      <c r="B24" s="46" t="s">
        <v>19</v>
      </c>
      <c r="C24" s="42"/>
      <c r="D24" s="42"/>
      <c r="E24" s="42"/>
      <c r="F24" s="42"/>
      <c r="G24" s="23">
        <v>0.25</v>
      </c>
      <c r="H24" s="23"/>
    </row>
    <row r="25" spans="1:8" ht="15" customHeight="1" x14ac:dyDescent="0.25">
      <c r="A25" s="24"/>
      <c r="B25" s="47" t="s">
        <v>20</v>
      </c>
      <c r="C25" s="42"/>
      <c r="D25" s="42"/>
      <c r="E25" s="42"/>
      <c r="F25" s="42"/>
      <c r="G25" s="15">
        <f>G23*(1+G24)</f>
        <v>1562.5</v>
      </c>
      <c r="H25" s="16" t="s">
        <v>14</v>
      </c>
    </row>
    <row r="26" spans="1:8" ht="15" customHeight="1" x14ac:dyDescent="0.25">
      <c r="A26" s="25"/>
      <c r="B26" s="26"/>
      <c r="C26" s="26"/>
      <c r="D26" s="13"/>
      <c r="E26" s="13"/>
      <c r="F26" s="27"/>
      <c r="G26" s="28"/>
      <c r="H26" s="15"/>
    </row>
    <row r="27" spans="1:8" ht="15" customHeight="1" x14ac:dyDescent="0.25">
      <c r="A27" s="25" t="s">
        <v>21</v>
      </c>
      <c r="B27" s="26" t="s">
        <v>22</v>
      </c>
      <c r="C27" s="26" t="s">
        <v>23</v>
      </c>
      <c r="D27" s="13" t="s">
        <v>24</v>
      </c>
      <c r="E27" s="13">
        <v>1</v>
      </c>
      <c r="F27" s="27">
        <v>1000</v>
      </c>
      <c r="G27" s="28">
        <f>E27*F27</f>
        <v>1000</v>
      </c>
      <c r="H27" s="16" t="s">
        <v>14</v>
      </c>
    </row>
    <row r="28" spans="1:8" ht="15" customHeight="1" x14ac:dyDescent="0.25">
      <c r="A28" s="29"/>
      <c r="B28" s="48" t="s">
        <v>25</v>
      </c>
      <c r="C28" s="49"/>
      <c r="D28" s="49"/>
      <c r="E28" s="49"/>
      <c r="F28" s="49"/>
      <c r="G28" s="28">
        <f>G27-G25</f>
        <v>-562.5</v>
      </c>
      <c r="H28" s="16" t="s">
        <v>14</v>
      </c>
    </row>
    <row r="29" spans="1:8" ht="15" customHeight="1" x14ac:dyDescent="0.25">
      <c r="A29" s="22" t="s">
        <v>26</v>
      </c>
      <c r="B29" s="8" t="s">
        <v>6</v>
      </c>
      <c r="C29" s="8" t="s">
        <v>7</v>
      </c>
      <c r="D29" s="9" t="s">
        <v>8</v>
      </c>
      <c r="E29" s="9" t="s">
        <v>9</v>
      </c>
      <c r="F29" s="10" t="s">
        <v>10</v>
      </c>
      <c r="G29" s="30" t="s">
        <v>11</v>
      </c>
      <c r="H29" s="30" t="s">
        <v>12</v>
      </c>
    </row>
    <row r="30" spans="1:8" ht="15" customHeight="1" x14ac:dyDescent="0.25">
      <c r="A30" s="12"/>
      <c r="B30" t="s">
        <v>47</v>
      </c>
      <c r="C30" t="s">
        <v>50</v>
      </c>
      <c r="D30" s="18" t="s">
        <v>53</v>
      </c>
      <c r="E30" s="14">
        <v>3</v>
      </c>
      <c r="F30">
        <v>567</v>
      </c>
      <c r="G30" s="15">
        <f t="shared" ref="G30" si="3">E30*F30</f>
        <v>1701</v>
      </c>
      <c r="H30" s="16" t="s">
        <v>14</v>
      </c>
    </row>
    <row r="31" spans="1:8" ht="15" customHeight="1" x14ac:dyDescent="0.25">
      <c r="A31" s="12"/>
      <c r="D31" s="14"/>
      <c r="E31" s="14"/>
      <c r="G31" s="15">
        <f t="shared" ref="G31:G33" si="4">E31*F31</f>
        <v>0</v>
      </c>
      <c r="H31" s="16" t="s">
        <v>14</v>
      </c>
    </row>
    <row r="32" spans="1:8" ht="15" customHeight="1" x14ac:dyDescent="0.25">
      <c r="A32" s="12"/>
      <c r="D32" s="14"/>
      <c r="E32" s="14"/>
      <c r="G32" s="15">
        <f t="shared" si="4"/>
        <v>0</v>
      </c>
      <c r="H32" s="16" t="s">
        <v>14</v>
      </c>
    </row>
    <row r="33" spans="1:8" ht="15" customHeight="1" x14ac:dyDescent="0.25">
      <c r="A33" s="12"/>
      <c r="D33" s="14"/>
      <c r="E33" s="14"/>
      <c r="G33" s="15">
        <f t="shared" si="4"/>
        <v>0</v>
      </c>
      <c r="H33" s="16" t="s">
        <v>14</v>
      </c>
    </row>
    <row r="34" spans="1:8" ht="15" customHeight="1" x14ac:dyDescent="0.25">
      <c r="A34" s="12"/>
      <c r="B34" s="46" t="s">
        <v>18</v>
      </c>
      <c r="C34" s="42"/>
      <c r="D34" s="42"/>
      <c r="E34" s="42"/>
      <c r="F34" s="42"/>
      <c r="G34" s="15">
        <f>SUM(G30:G33)</f>
        <v>1701</v>
      </c>
      <c r="H34" s="16" t="s">
        <v>14</v>
      </c>
    </row>
    <row r="35" spans="1:8" ht="15" customHeight="1" x14ac:dyDescent="0.25">
      <c r="A35" s="12"/>
      <c r="B35" s="46" t="s">
        <v>19</v>
      </c>
      <c r="C35" s="42"/>
      <c r="D35" s="42"/>
      <c r="E35" s="42"/>
      <c r="F35" s="42"/>
      <c r="G35" s="23">
        <v>0.25</v>
      </c>
      <c r="H35" s="23"/>
    </row>
    <row r="36" spans="1:8" ht="15" customHeight="1" x14ac:dyDescent="0.25">
      <c r="A36" s="24"/>
      <c r="B36" s="47" t="s">
        <v>27</v>
      </c>
      <c r="C36" s="42"/>
      <c r="D36" s="42"/>
      <c r="E36" s="42"/>
      <c r="F36" s="42"/>
      <c r="G36" s="15">
        <f>G34*(1+G35)</f>
        <v>2126.25</v>
      </c>
      <c r="H36" s="16" t="s">
        <v>14</v>
      </c>
    </row>
    <row r="37" spans="1:8" ht="15" customHeight="1" x14ac:dyDescent="0.25">
      <c r="A37" s="25"/>
      <c r="B37" s="26"/>
      <c r="C37" s="26"/>
      <c r="D37" s="13"/>
      <c r="E37" s="13"/>
      <c r="F37" s="27"/>
      <c r="G37" s="28"/>
      <c r="H37" s="15"/>
    </row>
    <row r="38" spans="1:8" ht="15" customHeight="1" x14ac:dyDescent="0.25">
      <c r="A38" s="25" t="s">
        <v>28</v>
      </c>
      <c r="B38" s="17" t="s">
        <v>15</v>
      </c>
      <c r="C38" s="17" t="s">
        <v>51</v>
      </c>
      <c r="D38" s="18" t="s">
        <v>55</v>
      </c>
      <c r="E38" s="13">
        <v>1</v>
      </c>
      <c r="F38" s="27">
        <v>1000</v>
      </c>
      <c r="G38" s="28">
        <f>E38*F38</f>
        <v>1000</v>
      </c>
      <c r="H38" s="16" t="s">
        <v>14</v>
      </c>
    </row>
    <row r="39" spans="1:8" ht="15" customHeight="1" x14ac:dyDescent="0.25">
      <c r="A39" s="29"/>
      <c r="B39" s="48" t="s">
        <v>29</v>
      </c>
      <c r="C39" s="49"/>
      <c r="D39" s="49"/>
      <c r="E39" s="49"/>
      <c r="F39" s="49"/>
      <c r="G39" s="28">
        <f>G38-G36</f>
        <v>-1126.25</v>
      </c>
      <c r="H39" s="16" t="s">
        <v>14</v>
      </c>
    </row>
    <row r="40" spans="1:8" ht="15" customHeight="1" x14ac:dyDescent="0.25">
      <c r="A40" s="22" t="s">
        <v>30</v>
      </c>
      <c r="B40" s="8" t="s">
        <v>6</v>
      </c>
      <c r="C40" s="8" t="s">
        <v>7</v>
      </c>
      <c r="D40" s="9" t="s">
        <v>8</v>
      </c>
      <c r="E40" s="9" t="s">
        <v>9</v>
      </c>
      <c r="F40" s="10" t="s">
        <v>10</v>
      </c>
      <c r="G40" s="30" t="s">
        <v>11</v>
      </c>
      <c r="H40" s="30" t="s">
        <v>12</v>
      </c>
    </row>
    <row r="41" spans="1:8" ht="15" customHeight="1" x14ac:dyDescent="0.25">
      <c r="A41" s="12"/>
      <c r="B41" t="s">
        <v>46</v>
      </c>
      <c r="C41" t="s">
        <v>49</v>
      </c>
      <c r="D41" s="13" t="s">
        <v>52</v>
      </c>
      <c r="E41" s="14">
        <v>1</v>
      </c>
      <c r="F41">
        <v>1000</v>
      </c>
      <c r="G41" s="15">
        <f t="shared" ref="G41" si="5">E41*F41</f>
        <v>1000</v>
      </c>
      <c r="H41" s="16" t="s">
        <v>14</v>
      </c>
    </row>
    <row r="42" spans="1:8" ht="15" customHeight="1" x14ac:dyDescent="0.25">
      <c r="A42" s="12"/>
      <c r="D42" s="14"/>
      <c r="E42" s="14"/>
      <c r="G42" s="15">
        <f t="shared" ref="G42:G44" si="6">E42*F42</f>
        <v>0</v>
      </c>
      <c r="H42" s="16" t="s">
        <v>14</v>
      </c>
    </row>
    <row r="43" spans="1:8" ht="15" customHeight="1" x14ac:dyDescent="0.25">
      <c r="A43" s="12"/>
      <c r="D43" s="14"/>
      <c r="E43" s="14"/>
      <c r="G43" s="15">
        <f t="shared" si="6"/>
        <v>0</v>
      </c>
      <c r="H43" s="16" t="s">
        <v>14</v>
      </c>
    </row>
    <row r="44" spans="1:8" ht="15" customHeight="1" x14ac:dyDescent="0.25">
      <c r="A44" s="12"/>
      <c r="D44" s="14"/>
      <c r="E44" s="14"/>
      <c r="G44" s="15">
        <f t="shared" si="6"/>
        <v>0</v>
      </c>
      <c r="H44" s="16" t="s">
        <v>14</v>
      </c>
    </row>
    <row r="45" spans="1:8" ht="15" customHeight="1" x14ac:dyDescent="0.25">
      <c r="A45" s="12"/>
      <c r="B45" s="46" t="s">
        <v>18</v>
      </c>
      <c r="C45" s="42"/>
      <c r="D45" s="42"/>
      <c r="E45" s="42"/>
      <c r="F45" s="42"/>
      <c r="G45" s="15">
        <f>SUM(G40:G44)</f>
        <v>1000</v>
      </c>
      <c r="H45" s="16" t="s">
        <v>14</v>
      </c>
    </row>
    <row r="46" spans="1:8" ht="15" customHeight="1" x14ac:dyDescent="0.25">
      <c r="A46" s="12"/>
      <c r="B46" s="46" t="s">
        <v>19</v>
      </c>
      <c r="C46" s="42"/>
      <c r="D46" s="42"/>
      <c r="E46" s="42"/>
      <c r="F46" s="42"/>
      <c r="G46" s="23">
        <v>0.25</v>
      </c>
      <c r="H46" s="23"/>
    </row>
    <row r="47" spans="1:8" ht="15" customHeight="1" x14ac:dyDescent="0.25">
      <c r="A47" s="12"/>
      <c r="B47" s="47" t="s">
        <v>31</v>
      </c>
      <c r="C47" s="42"/>
      <c r="D47" s="42"/>
      <c r="E47" s="42"/>
      <c r="F47" s="42"/>
      <c r="G47" s="15">
        <f>G45*(1+G46)</f>
        <v>1250</v>
      </c>
      <c r="H47" s="16" t="s">
        <v>14</v>
      </c>
    </row>
    <row r="48" spans="1:8" ht="15" customHeight="1" x14ac:dyDescent="0.25">
      <c r="A48" s="25"/>
      <c r="B48" s="17"/>
      <c r="D48" s="13"/>
      <c r="E48" s="14"/>
      <c r="G48" s="15"/>
      <c r="H48" s="21"/>
    </row>
    <row r="49" spans="1:8" ht="15" customHeight="1" x14ac:dyDescent="0.25">
      <c r="A49" s="25" t="s">
        <v>32</v>
      </c>
      <c r="B49" t="s">
        <v>48</v>
      </c>
      <c r="C49" t="s">
        <v>51</v>
      </c>
      <c r="D49" s="14" t="s">
        <v>54</v>
      </c>
      <c r="E49" s="14">
        <v>1</v>
      </c>
      <c r="F49">
        <v>250</v>
      </c>
      <c r="G49" s="15">
        <f t="shared" ref="G49" si="7">E49*F49</f>
        <v>250</v>
      </c>
      <c r="H49" s="16" t="s">
        <v>14</v>
      </c>
    </row>
    <row r="50" spans="1:8" ht="15" customHeight="1" x14ac:dyDescent="0.25">
      <c r="A50" s="12"/>
      <c r="B50" s="50" t="s">
        <v>33</v>
      </c>
      <c r="C50" s="42"/>
      <c r="D50" s="42"/>
      <c r="E50" s="42"/>
      <c r="F50" s="42"/>
      <c r="G50" s="28">
        <f>G49-G47</f>
        <v>-1000</v>
      </c>
      <c r="H50" s="16" t="s">
        <v>14</v>
      </c>
    </row>
    <row r="51" spans="1:8" ht="15" customHeight="1" x14ac:dyDescent="0.25">
      <c r="A51" s="31"/>
      <c r="B51" s="32"/>
      <c r="C51" s="32"/>
      <c r="D51" s="32"/>
      <c r="E51" s="32"/>
      <c r="F51" s="32"/>
      <c r="G51" s="33"/>
      <c r="H51" s="34"/>
    </row>
    <row r="52" spans="1:8" ht="15" customHeight="1" x14ac:dyDescent="0.25">
      <c r="A52" s="43" t="s">
        <v>34</v>
      </c>
      <c r="B52" s="44"/>
      <c r="C52" s="44"/>
      <c r="D52" s="44"/>
      <c r="E52" s="44"/>
      <c r="F52" s="44"/>
      <c r="G52" s="44"/>
      <c r="H52" s="45"/>
    </row>
    <row r="53" spans="1:8" ht="15" customHeight="1" x14ac:dyDescent="0.25">
      <c r="A53" s="51"/>
      <c r="B53" s="49"/>
      <c r="C53" s="49"/>
      <c r="D53" s="49"/>
      <c r="E53" s="49"/>
      <c r="F53" s="49"/>
      <c r="G53" s="49"/>
      <c r="H53" s="52"/>
    </row>
    <row r="54" spans="1:8" ht="15" customHeight="1" x14ac:dyDescent="0.25">
      <c r="A54" s="43" t="s">
        <v>35</v>
      </c>
      <c r="B54" s="44"/>
      <c r="C54" s="44"/>
      <c r="D54" s="44"/>
      <c r="E54" s="44"/>
      <c r="F54" s="44"/>
      <c r="G54" s="44"/>
      <c r="H54" s="45"/>
    </row>
    <row r="55" spans="1:8" ht="15" customHeight="1" x14ac:dyDescent="0.25">
      <c r="A55" s="22" t="s">
        <v>36</v>
      </c>
      <c r="B55" s="8" t="s">
        <v>6</v>
      </c>
      <c r="C55" s="8" t="s">
        <v>7</v>
      </c>
      <c r="D55" s="9" t="s">
        <v>8</v>
      </c>
      <c r="E55" s="35" t="s">
        <v>37</v>
      </c>
      <c r="F55" s="10" t="s">
        <v>10</v>
      </c>
      <c r="G55" s="30" t="s">
        <v>11</v>
      </c>
      <c r="H55" s="30" t="s">
        <v>12</v>
      </c>
    </row>
    <row r="56" spans="1:8" ht="15" customHeight="1" x14ac:dyDescent="0.25">
      <c r="A56" s="36" t="s">
        <v>38</v>
      </c>
      <c r="B56" s="26" t="s">
        <v>39</v>
      </c>
      <c r="C56" s="13" t="s">
        <v>13</v>
      </c>
      <c r="D56" s="13" t="s">
        <v>40</v>
      </c>
      <c r="E56" s="13" t="s">
        <v>41</v>
      </c>
      <c r="F56" s="27">
        <v>5000</v>
      </c>
      <c r="G56" s="37">
        <v>5000</v>
      </c>
      <c r="H56" s="38" t="s">
        <v>14</v>
      </c>
    </row>
    <row r="57" spans="1:8" ht="15" customHeight="1" x14ac:dyDescent="0.25">
      <c r="A57" s="39"/>
      <c r="B57" s="26"/>
      <c r="C57" s="26"/>
      <c r="D57" s="13"/>
      <c r="E57" s="13"/>
      <c r="F57" s="27"/>
      <c r="G57" s="28"/>
      <c r="H57" s="40"/>
    </row>
    <row r="58" spans="1:8" ht="15" customHeight="1" x14ac:dyDescent="0.25">
      <c r="A58" s="53" t="s">
        <v>42</v>
      </c>
      <c r="B58" s="26" t="s">
        <v>22</v>
      </c>
      <c r="C58" s="26" t="s">
        <v>23</v>
      </c>
      <c r="D58" s="13" t="s">
        <v>24</v>
      </c>
      <c r="E58" s="13">
        <v>1</v>
      </c>
      <c r="F58" s="27">
        <v>1000</v>
      </c>
      <c r="G58" s="28">
        <f t="shared" ref="G58:G60" si="8">E58*F58</f>
        <v>1000</v>
      </c>
      <c r="H58" s="16" t="s">
        <v>14</v>
      </c>
    </row>
    <row r="59" spans="1:8" ht="15" customHeight="1" x14ac:dyDescent="0.25">
      <c r="A59" s="54"/>
      <c r="B59" s="17" t="s">
        <v>15</v>
      </c>
      <c r="C59" s="17" t="s">
        <v>51</v>
      </c>
      <c r="D59" s="18" t="s">
        <v>55</v>
      </c>
      <c r="E59" s="13">
        <v>1</v>
      </c>
      <c r="F59" s="27">
        <v>1000</v>
      </c>
      <c r="G59" s="28">
        <f>E59*F59</f>
        <v>1000</v>
      </c>
      <c r="H59" s="16" t="s">
        <v>14</v>
      </c>
    </row>
    <row r="60" spans="1:8" ht="15" customHeight="1" x14ac:dyDescent="0.25">
      <c r="A60" s="54"/>
      <c r="B60" t="s">
        <v>48</v>
      </c>
      <c r="C60" t="s">
        <v>51</v>
      </c>
      <c r="D60" s="14" t="s">
        <v>54</v>
      </c>
      <c r="E60" s="14">
        <v>1</v>
      </c>
      <c r="F60">
        <v>250</v>
      </c>
      <c r="G60" s="15">
        <f t="shared" si="8"/>
        <v>250</v>
      </c>
      <c r="H60" s="16" t="s">
        <v>14</v>
      </c>
    </row>
    <row r="61" spans="1:8" ht="15" customHeight="1" x14ac:dyDescent="0.25">
      <c r="A61" s="39"/>
      <c r="B61" s="50" t="s">
        <v>43</v>
      </c>
      <c r="C61" s="42"/>
      <c r="D61" s="42"/>
      <c r="E61" s="42"/>
      <c r="F61" s="42"/>
      <c r="G61" s="37">
        <f>G56-SUM(G58:G60)</f>
        <v>2750</v>
      </c>
      <c r="H61" s="38" t="s">
        <v>14</v>
      </c>
    </row>
    <row r="62" spans="1:8" ht="15" customHeight="1" x14ac:dyDescent="0.25">
      <c r="A62" s="55"/>
      <c r="B62" s="56"/>
      <c r="C62" s="56"/>
      <c r="D62" s="57"/>
      <c r="E62" s="57"/>
      <c r="F62" s="57"/>
      <c r="G62" s="58"/>
      <c r="H62" s="59"/>
    </row>
  </sheetData>
  <mergeCells count="20">
    <mergeCell ref="A53:H53"/>
    <mergeCell ref="A54:H54"/>
    <mergeCell ref="A58:A60"/>
    <mergeCell ref="B61:F61"/>
    <mergeCell ref="B45:F45"/>
    <mergeCell ref="B46:F46"/>
    <mergeCell ref="B47:F47"/>
    <mergeCell ref="B50:F50"/>
    <mergeCell ref="A52:H52"/>
    <mergeCell ref="B39:F39"/>
    <mergeCell ref="B25:F25"/>
    <mergeCell ref="B28:F28"/>
    <mergeCell ref="B34:F34"/>
    <mergeCell ref="B35:F35"/>
    <mergeCell ref="B36:F36"/>
    <mergeCell ref="A1:H1"/>
    <mergeCell ref="A7:H7"/>
    <mergeCell ref="A16:H16"/>
    <mergeCell ref="B23:F23"/>
    <mergeCell ref="B24:F24"/>
  </mergeCells>
  <conditionalFormatting sqref="G28 G39 G50">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Dirks</dc:creator>
  <cp:lastModifiedBy>Jessica Dirks</cp:lastModifiedBy>
  <dcterms:created xsi:type="dcterms:W3CDTF">2026-02-12T06:08:00Z</dcterms:created>
  <dcterms:modified xsi:type="dcterms:W3CDTF">2026-02-12T06:09:33Z</dcterms:modified>
</cp:coreProperties>
</file>